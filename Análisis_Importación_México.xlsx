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666C8B1E-2A5B-44A9-BEAC-8D9D63464465}" xr6:coauthVersionLast="47" xr6:coauthVersionMax="47" xr10:uidLastSave="{00000000-0000-0000-0000-000000000000}"/>
  <bookViews>
    <workbookView xWindow="-110" yWindow="-110" windowWidth="19420" windowHeight="10660" activeTab="1" xr2:uid="{00000000-000D-0000-FFFF-FFFF00000000}"/>
  </bookViews>
  <sheets>
    <sheet name="Datos_Importación" sheetId="2" r:id="rId1"/>
    <sheet name="Resultados " sheetId="3" r:id="rId2"/>
  </sheets>
  <definedNames>
    <definedName name="_xlnm._FilterDatabase" localSheetId="0" hidden="1">Datos_Importación!$A$1:$I$51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4" i="2" l="1"/>
  <c r="D57" i="2"/>
  <c r="C3" i="3"/>
  <c r="C6" i="3"/>
  <c r="C5" i="3"/>
  <c r="I2" i="2" a="1"/>
  <c r="I2" i="2" s="1"/>
  <c r="H2" i="2"/>
  <c r="H41" i="2"/>
  <c r="D56" i="2"/>
  <c r="D55" i="2"/>
  <c r="H5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2" i="2"/>
  <c r="H43" i="2"/>
  <c r="H44" i="2"/>
  <c r="H45" i="2"/>
  <c r="H46" i="2"/>
  <c r="H47" i="2"/>
  <c r="H48" i="2"/>
  <c r="H49" i="2"/>
  <c r="H5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<sst xmlns="http://schemas.openxmlformats.org/spreadsheetml/2006/main" count="219" uniqueCount="130">
  <si>
    <t>No.</t>
  </si>
  <si>
    <t>Código</t>
  </si>
  <si>
    <t>Producto</t>
  </si>
  <si>
    <t>Categoría</t>
  </si>
  <si>
    <t>País Origen</t>
  </si>
  <si>
    <t>Cantidad</t>
  </si>
  <si>
    <t>Precio Unitario (USD)</t>
  </si>
  <si>
    <t>Importe Total (USD)</t>
  </si>
  <si>
    <t>Clasificación</t>
  </si>
  <si>
    <t>MEX-001</t>
  </si>
  <si>
    <t>Galletas integrales</t>
  </si>
  <si>
    <t>Alimentos</t>
  </si>
  <si>
    <t>México</t>
  </si>
  <si>
    <t>MEX-002</t>
  </si>
  <si>
    <t>Café soluble</t>
  </si>
  <si>
    <t>MEX-003</t>
  </si>
  <si>
    <t>Salsa de tomate</t>
  </si>
  <si>
    <t>MEX-004</t>
  </si>
  <si>
    <t>Atún enlatado</t>
  </si>
  <si>
    <t>MEX-005</t>
  </si>
  <si>
    <t>Aceite vegetal</t>
  </si>
  <si>
    <t>MEX-006</t>
  </si>
  <si>
    <t>Cereal de maíz</t>
  </si>
  <si>
    <t>MEX-007</t>
  </si>
  <si>
    <t>Leche en polvo</t>
  </si>
  <si>
    <t>MEX-008</t>
  </si>
  <si>
    <t>Frijoles enlatados</t>
  </si>
  <si>
    <t>MEX-009</t>
  </si>
  <si>
    <t>Mayonesa</t>
  </si>
  <si>
    <t>MEX-010</t>
  </si>
  <si>
    <t>Mermelada de fresa</t>
  </si>
  <si>
    <t>MEX-011</t>
  </si>
  <si>
    <t>Chocolate en polvo</t>
  </si>
  <si>
    <t>MEX-012</t>
  </si>
  <si>
    <t>Harina de trigo</t>
  </si>
  <si>
    <t>MEX-013</t>
  </si>
  <si>
    <t>Pasta alimenticia</t>
  </si>
  <si>
    <t>MEX-014</t>
  </si>
  <si>
    <t>Galletas saladas</t>
  </si>
  <si>
    <t>MEX-015</t>
  </si>
  <si>
    <t>Salsa picante</t>
  </si>
  <si>
    <t>MEX-016</t>
  </si>
  <si>
    <t>Bebida energética</t>
  </si>
  <si>
    <t>Bebidas</t>
  </si>
  <si>
    <t>MEX-017</t>
  </si>
  <si>
    <t>Jugo de naranja</t>
  </si>
  <si>
    <t>MEX-018</t>
  </si>
  <si>
    <t>Agua embotellada</t>
  </si>
  <si>
    <t>MEX-019</t>
  </si>
  <si>
    <t>Té instantáneo</t>
  </si>
  <si>
    <t>MEX-020</t>
  </si>
  <si>
    <t>Bebida de frutas</t>
  </si>
  <si>
    <t>MEX-021</t>
  </si>
  <si>
    <t>Detergente líquido</t>
  </si>
  <si>
    <t>Limpieza</t>
  </si>
  <si>
    <t>MEX-022</t>
  </si>
  <si>
    <t>Jabón para ropa</t>
  </si>
  <si>
    <t>MEX-023</t>
  </si>
  <si>
    <t>Limpiador multiuso</t>
  </si>
  <si>
    <t>MEX-024</t>
  </si>
  <si>
    <t>Cloro doméstico</t>
  </si>
  <si>
    <t>MEX-025</t>
  </si>
  <si>
    <t>Suavizante</t>
  </si>
  <si>
    <t>MEX-026</t>
  </si>
  <si>
    <t>Papel higiénico</t>
  </si>
  <si>
    <t>Hogar</t>
  </si>
  <si>
    <t>MEX-027</t>
  </si>
  <si>
    <t>Servilletas</t>
  </si>
  <si>
    <t>MEX-028</t>
  </si>
  <si>
    <t>Bolsas para basura</t>
  </si>
  <si>
    <t>MEX-029</t>
  </si>
  <si>
    <t>Toallas de cocina</t>
  </si>
  <si>
    <t>MEX-030</t>
  </si>
  <si>
    <t>Envases plásticos</t>
  </si>
  <si>
    <t>MEX-031</t>
  </si>
  <si>
    <t>Cuadernos</t>
  </si>
  <si>
    <t>Oficina</t>
  </si>
  <si>
    <t>MEX-032</t>
  </si>
  <si>
    <t>Carpetas</t>
  </si>
  <si>
    <t>MEX-033</t>
  </si>
  <si>
    <t>Bolígrafos</t>
  </si>
  <si>
    <t>MEX-034</t>
  </si>
  <si>
    <t>Marcadores</t>
  </si>
  <si>
    <t>MEX-035</t>
  </si>
  <si>
    <t>Papel bond</t>
  </si>
  <si>
    <t>MEX-036</t>
  </si>
  <si>
    <t>Calculadoras</t>
  </si>
  <si>
    <t>MEX-037</t>
  </si>
  <si>
    <t>Memorias USB</t>
  </si>
  <si>
    <t>Tecnología</t>
  </si>
  <si>
    <t>MEX-038</t>
  </si>
  <si>
    <t>Teclados USB</t>
  </si>
  <si>
    <t>MEX-039</t>
  </si>
  <si>
    <t>Mouse inalámbrico</t>
  </si>
  <si>
    <t>MEX-040</t>
  </si>
  <si>
    <t>Audífonos</t>
  </si>
  <si>
    <t>MEX-041</t>
  </si>
  <si>
    <t>Cargadores USB</t>
  </si>
  <si>
    <t>MEX-042</t>
  </si>
  <si>
    <t>Cables HDMI</t>
  </si>
  <si>
    <t>MEX-043</t>
  </si>
  <si>
    <t>Mochilas</t>
  </si>
  <si>
    <t>Accesorios</t>
  </si>
  <si>
    <t>MEX-044</t>
  </si>
  <si>
    <t>Bolsos deportivos</t>
  </si>
  <si>
    <t>MEX-045</t>
  </si>
  <si>
    <t>Gorras</t>
  </si>
  <si>
    <t>Guatemala</t>
  </si>
  <si>
    <t>MEX-046</t>
  </si>
  <si>
    <t>Paraguas</t>
  </si>
  <si>
    <t>Costa Rica</t>
  </si>
  <si>
    <t>MEX-047</t>
  </si>
  <si>
    <t>Lentes de sol</t>
  </si>
  <si>
    <t>El Salvador</t>
  </si>
  <si>
    <t>MEX-048</t>
  </si>
  <si>
    <t>Botellas reutilizables</t>
  </si>
  <si>
    <t>MEX-049</t>
  </si>
  <si>
    <t>Termos</t>
  </si>
  <si>
    <t>MEX-050</t>
  </si>
  <si>
    <t>Organizadores</t>
  </si>
  <si>
    <t>Precio promedio</t>
  </si>
  <si>
    <t xml:space="preserve">Cantidad de productos registardos </t>
  </si>
  <si>
    <t xml:space="preserve">Importe total de operación </t>
  </si>
  <si>
    <t>Importe de los productos de México</t>
  </si>
  <si>
    <t>. ¿Cuál es el importe total de la operación?</t>
  </si>
  <si>
    <t>¿Cuál es el producto con mayor importe?</t>
  </si>
  <si>
    <t>¿Cuál es el precio promedio?</t>
  </si>
  <si>
    <t>¿Cuántos productos están registrados?</t>
  </si>
  <si>
    <t>¿Por qué es importante analizar esta información antes de realizar una operación
comercial?</t>
  </si>
  <si>
    <t xml:space="preserve">Mochilas con 1,912.50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</si>
</sst>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_-[$$-409]* #,##0.00_ ;_-[$$-409]* \-#,##0.00\ ;_-[$$-409]* &quot;-&quot;??_ ;_-@_ "/>
    <numFmt numFmtId="166" formatCode="[$$-409]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/>
    <xf numFmtId="164" fontId="0" fillId="0" borderId="2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/>
    </xf>
    <xf numFmtId="165" fontId="0" fillId="0" borderId="2" xfId="0" applyNumberFormat="1" applyBorder="1"/>
    <xf numFmtId="166" fontId="0" fillId="3" borderId="2" xfId="0" applyNumberFormat="1" applyFill="1" applyBorder="1"/>
    <xf numFmtId="0" fontId="0" fillId="0" borderId="0" xfId="0" applyBorder="1"/>
    <xf numFmtId="0" fontId="0" fillId="0" borderId="3" xfId="0" applyBorder="1"/>
    <xf numFmtId="165" fontId="0" fillId="0" borderId="3" xfId="0" applyNumberFormat="1" applyBorder="1"/>
    <xf numFmtId="166" fontId="0" fillId="0" borderId="3" xfId="0" applyNumberFormat="1" applyBorder="1"/>
    <xf numFmtId="0" fontId="0" fillId="0" borderId="3" xfId="0" applyFill="1" applyBorder="1"/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2825750</xdr:colOff>
      <xdr:row>5</xdr:row>
      <xdr:rowOff>177800</xdr:rowOff>
    </xdr:from>
    <xdr:to>
      <xdr:col>5</xdr:col>
      <xdr:colOff>69850</xdr:colOff>
      <xdr:row>9</xdr:row>
      <xdr:rowOff>158750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7F97C07-CAE6-44CC-92DD-3EFC993A0AE4}"/>
            </a:ext>
          </a:extLst>
        </xdr:cNvPr>
        <xdr:cNvSpPr txBox="1"/>
      </xdr:nvSpPr>
      <xdr:spPr>
        <a:xfrm>
          <a:off x="3587750" y="1098550"/>
          <a:ext cx="2387600" cy="10858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Permite conocer los costos, precios y productos involucrados. Lo que ayuda a identificar oportunidades, evitar posibles peridda y tomar desiciones más seguras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7"/>
  <sheetViews>
    <sheetView workbookViewId="0">
      <pane ySplit="1" topLeftCell="A47" activePane="bottomLeft" state="frozen"/>
      <selection pane="bottomLeft" activeCell="C63" sqref="C63"/>
    </sheetView>
  </sheetViews>
  <sheetFormatPr baseColWidth="10" defaultColWidth="8.90625" defaultRowHeight="14.5" x14ac:dyDescent="0.35"/>
  <cols>
    <col min="1" max="1" width="4" style="5" bestFit="1" customWidth="1"/>
    <col min="2" max="2" width="8.36328125" style="5" bestFit="1" customWidth="1"/>
    <col min="3" max="3" width="30.81640625" customWidth="1"/>
    <col min="4" max="4" width="12.1796875" customWidth="1"/>
    <col min="5" max="5" width="10.36328125" style="5" bestFit="1" customWidth="1"/>
    <col min="6" max="6" width="8.54296875" bestFit="1" customWidth="1"/>
    <col min="7" max="7" width="18.90625" bestFit="1" customWidth="1"/>
    <col min="8" max="8" width="17.90625" bestFit="1" customWidth="1"/>
    <col min="9" max="9" width="20" customWidth="1"/>
    <col min="10" max="10" width="19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4">
        <v>1</v>
      </c>
      <c r="B2" s="4" t="s">
        <v>9</v>
      </c>
      <c r="C2" s="2" t="s">
        <v>10</v>
      </c>
      <c r="D2" s="2" t="s">
        <v>11</v>
      </c>
      <c r="E2" s="4" t="s">
        <v>12</v>
      </c>
      <c r="F2" s="2">
        <v>120</v>
      </c>
      <c r="G2" s="3">
        <v>4.5</v>
      </c>
      <c r="H2" s="3">
        <f>F2*G2</f>
        <v>540</v>
      </c>
      <c r="I2" s="8" t="str" cm="1">
        <f t="array" ref="I2:I51">IF(H2:H51&gt;1000,"Importe Alto","Importe Normal")</f>
        <v>Importe Normal</v>
      </c>
    </row>
    <row r="3" spans="1:9" x14ac:dyDescent="0.35">
      <c r="A3" s="4">
        <v>2</v>
      </c>
      <c r="B3" s="4" t="s">
        <v>13</v>
      </c>
      <c r="C3" s="2" t="s">
        <v>14</v>
      </c>
      <c r="D3" s="2" t="s">
        <v>11</v>
      </c>
      <c r="E3" s="4" t="s">
        <v>12</v>
      </c>
      <c r="F3" s="2">
        <v>85</v>
      </c>
      <c r="G3" s="3">
        <v>8.75</v>
      </c>
      <c r="H3" s="3">
        <f t="shared" ref="H3:H50" si="0">F3*G3</f>
        <v>743.75</v>
      </c>
      <c r="I3" s="8" t="str">
        <v>Importe Normal</v>
      </c>
    </row>
    <row r="4" spans="1:9" x14ac:dyDescent="0.35">
      <c r="A4" s="4">
        <v>3</v>
      </c>
      <c r="B4" s="4" t="s">
        <v>15</v>
      </c>
      <c r="C4" s="2" t="s">
        <v>16</v>
      </c>
      <c r="D4" s="2" t="s">
        <v>11</v>
      </c>
      <c r="E4" s="4" t="s">
        <v>12</v>
      </c>
      <c r="F4" s="2">
        <v>150</v>
      </c>
      <c r="G4" s="3">
        <v>3.2</v>
      </c>
      <c r="H4" s="3">
        <f t="shared" si="0"/>
        <v>480</v>
      </c>
      <c r="I4" s="8" t="str">
        <v>Importe Normal</v>
      </c>
    </row>
    <row r="5" spans="1:9" x14ac:dyDescent="0.35">
      <c r="A5" s="4">
        <v>4</v>
      </c>
      <c r="B5" s="4" t="s">
        <v>17</v>
      </c>
      <c r="C5" s="2" t="s">
        <v>18</v>
      </c>
      <c r="D5" s="2" t="s">
        <v>11</v>
      </c>
      <c r="E5" s="4" t="s">
        <v>12</v>
      </c>
      <c r="F5" s="2">
        <v>200</v>
      </c>
      <c r="G5" s="3">
        <v>2.85</v>
      </c>
      <c r="H5" s="3">
        <f t="shared" si="0"/>
        <v>570</v>
      </c>
      <c r="I5" s="8" t="str">
        <v>Importe Normal</v>
      </c>
    </row>
    <row r="6" spans="1:9" x14ac:dyDescent="0.35">
      <c r="A6" s="4">
        <v>5</v>
      </c>
      <c r="B6" s="4" t="s">
        <v>19</v>
      </c>
      <c r="C6" s="2" t="s">
        <v>20</v>
      </c>
      <c r="D6" s="2" t="s">
        <v>11</v>
      </c>
      <c r="E6" s="4" t="s">
        <v>12</v>
      </c>
      <c r="F6" s="2">
        <v>180</v>
      </c>
      <c r="G6" s="3">
        <v>5.4</v>
      </c>
      <c r="H6" s="3">
        <f t="shared" si="0"/>
        <v>972.00000000000011</v>
      </c>
      <c r="I6" s="8" t="str">
        <v>Importe Normal</v>
      </c>
    </row>
    <row r="7" spans="1:9" x14ac:dyDescent="0.35">
      <c r="A7" s="4">
        <v>6</v>
      </c>
      <c r="B7" s="4" t="s">
        <v>21</v>
      </c>
      <c r="C7" s="2" t="s">
        <v>22</v>
      </c>
      <c r="D7" s="2" t="s">
        <v>11</v>
      </c>
      <c r="E7" s="4" t="s">
        <v>12</v>
      </c>
      <c r="F7" s="2">
        <v>95</v>
      </c>
      <c r="G7" s="3">
        <v>6.8</v>
      </c>
      <c r="H7" s="3">
        <f t="shared" si="0"/>
        <v>646</v>
      </c>
      <c r="I7" s="8" t="str">
        <v>Importe Normal</v>
      </c>
    </row>
    <row r="8" spans="1:9" x14ac:dyDescent="0.35">
      <c r="A8" s="4">
        <v>7</v>
      </c>
      <c r="B8" s="4" t="s">
        <v>23</v>
      </c>
      <c r="C8" s="2" t="s">
        <v>24</v>
      </c>
      <c r="D8" s="2" t="s">
        <v>11</v>
      </c>
      <c r="E8" s="4" t="s">
        <v>12</v>
      </c>
      <c r="F8" s="2">
        <v>110</v>
      </c>
      <c r="G8" s="3">
        <v>9.5</v>
      </c>
      <c r="H8" s="3">
        <f t="shared" si="0"/>
        <v>1045</v>
      </c>
      <c r="I8" s="8" t="str">
        <v>Importe Alto</v>
      </c>
    </row>
    <row r="9" spans="1:9" x14ac:dyDescent="0.35">
      <c r="A9" s="4">
        <v>8</v>
      </c>
      <c r="B9" s="4" t="s">
        <v>25</v>
      </c>
      <c r="C9" s="2" t="s">
        <v>26</v>
      </c>
      <c r="D9" s="2" t="s">
        <v>11</v>
      </c>
      <c r="E9" s="4" t="s">
        <v>12</v>
      </c>
      <c r="F9" s="2">
        <v>160</v>
      </c>
      <c r="G9" s="3">
        <v>3.75</v>
      </c>
      <c r="H9" s="3">
        <f t="shared" si="0"/>
        <v>600</v>
      </c>
      <c r="I9" s="8" t="str">
        <v>Importe Normal</v>
      </c>
    </row>
    <row r="10" spans="1:9" x14ac:dyDescent="0.35">
      <c r="A10" s="4">
        <v>9</v>
      </c>
      <c r="B10" s="4" t="s">
        <v>27</v>
      </c>
      <c r="C10" s="2" t="s">
        <v>28</v>
      </c>
      <c r="D10" s="2" t="s">
        <v>11</v>
      </c>
      <c r="E10" s="4" t="s">
        <v>12</v>
      </c>
      <c r="F10" s="2">
        <v>130</v>
      </c>
      <c r="G10" s="3">
        <v>4.25</v>
      </c>
      <c r="H10" s="3">
        <f t="shared" si="0"/>
        <v>552.5</v>
      </c>
      <c r="I10" s="8" t="str">
        <v>Importe Normal</v>
      </c>
    </row>
    <row r="11" spans="1:9" x14ac:dyDescent="0.35">
      <c r="A11" s="4">
        <v>10</v>
      </c>
      <c r="B11" s="4" t="s">
        <v>29</v>
      </c>
      <c r="C11" s="2" t="s">
        <v>30</v>
      </c>
      <c r="D11" s="2" t="s">
        <v>11</v>
      </c>
      <c r="E11" s="4" t="s">
        <v>12</v>
      </c>
      <c r="F11" s="2">
        <v>90</v>
      </c>
      <c r="G11" s="3">
        <v>5.6</v>
      </c>
      <c r="H11" s="3">
        <f t="shared" si="0"/>
        <v>503.99999999999994</v>
      </c>
      <c r="I11" s="8" t="str">
        <v>Importe Normal</v>
      </c>
    </row>
    <row r="12" spans="1:9" x14ac:dyDescent="0.35">
      <c r="A12" s="4">
        <v>11</v>
      </c>
      <c r="B12" s="4" t="s">
        <v>31</v>
      </c>
      <c r="C12" s="2" t="s">
        <v>32</v>
      </c>
      <c r="D12" s="2" t="s">
        <v>11</v>
      </c>
      <c r="E12" s="4" t="s">
        <v>12</v>
      </c>
      <c r="F12" s="2">
        <v>75</v>
      </c>
      <c r="G12" s="3">
        <v>7.25</v>
      </c>
      <c r="H12" s="3">
        <f t="shared" si="0"/>
        <v>543.75</v>
      </c>
      <c r="I12" s="8" t="str">
        <v>Importe Normal</v>
      </c>
    </row>
    <row r="13" spans="1:9" x14ac:dyDescent="0.35">
      <c r="A13" s="4">
        <v>12</v>
      </c>
      <c r="B13" s="4" t="s">
        <v>33</v>
      </c>
      <c r="C13" s="2" t="s">
        <v>34</v>
      </c>
      <c r="D13" s="2" t="s">
        <v>11</v>
      </c>
      <c r="E13" s="4" t="s">
        <v>12</v>
      </c>
      <c r="F13" s="2">
        <v>220</v>
      </c>
      <c r="G13" s="3">
        <v>2.9</v>
      </c>
      <c r="H13" s="3">
        <f t="shared" si="0"/>
        <v>638</v>
      </c>
      <c r="I13" s="8" t="str">
        <v>Importe Normal</v>
      </c>
    </row>
    <row r="14" spans="1:9" x14ac:dyDescent="0.35">
      <c r="A14" s="4">
        <v>13</v>
      </c>
      <c r="B14" s="4" t="s">
        <v>35</v>
      </c>
      <c r="C14" s="2" t="s">
        <v>36</v>
      </c>
      <c r="D14" s="2" t="s">
        <v>11</v>
      </c>
      <c r="E14" s="4" t="s">
        <v>12</v>
      </c>
      <c r="F14" s="2">
        <v>250</v>
      </c>
      <c r="G14" s="3">
        <v>2.4</v>
      </c>
      <c r="H14" s="3">
        <f t="shared" si="0"/>
        <v>600</v>
      </c>
      <c r="I14" s="8" t="str">
        <v>Importe Normal</v>
      </c>
    </row>
    <row r="15" spans="1:9" x14ac:dyDescent="0.35">
      <c r="A15" s="4">
        <v>14</v>
      </c>
      <c r="B15" s="4" t="s">
        <v>37</v>
      </c>
      <c r="C15" s="2" t="s">
        <v>38</v>
      </c>
      <c r="D15" s="2" t="s">
        <v>11</v>
      </c>
      <c r="E15" s="4" t="s">
        <v>12</v>
      </c>
      <c r="F15" s="2">
        <v>140</v>
      </c>
      <c r="G15" s="3">
        <v>3.85</v>
      </c>
      <c r="H15" s="3">
        <f t="shared" si="0"/>
        <v>539</v>
      </c>
      <c r="I15" s="8" t="str">
        <v>Importe Normal</v>
      </c>
    </row>
    <row r="16" spans="1:9" x14ac:dyDescent="0.35">
      <c r="A16" s="4">
        <v>15</v>
      </c>
      <c r="B16" s="4" t="s">
        <v>39</v>
      </c>
      <c r="C16" s="2" t="s">
        <v>40</v>
      </c>
      <c r="D16" s="2" t="s">
        <v>11</v>
      </c>
      <c r="E16" s="4" t="s">
        <v>12</v>
      </c>
      <c r="F16" s="2">
        <v>100</v>
      </c>
      <c r="G16" s="3">
        <v>4.9000000000000004</v>
      </c>
      <c r="H16" s="3">
        <f t="shared" si="0"/>
        <v>490.00000000000006</v>
      </c>
      <c r="I16" s="8" t="str">
        <v>Importe Normal</v>
      </c>
    </row>
    <row r="17" spans="1:9" x14ac:dyDescent="0.35">
      <c r="A17" s="4">
        <v>16</v>
      </c>
      <c r="B17" s="4" t="s">
        <v>41</v>
      </c>
      <c r="C17" s="2" t="s">
        <v>42</v>
      </c>
      <c r="D17" s="2" t="s">
        <v>43</v>
      </c>
      <c r="E17" s="4" t="s">
        <v>12</v>
      </c>
      <c r="F17" s="2">
        <v>180</v>
      </c>
      <c r="G17" s="3">
        <v>3.6</v>
      </c>
      <c r="H17" s="3">
        <f t="shared" si="0"/>
        <v>648</v>
      </c>
      <c r="I17" s="8" t="str">
        <v>Importe Normal</v>
      </c>
    </row>
    <row r="18" spans="1:9" x14ac:dyDescent="0.35">
      <c r="A18" s="4">
        <v>17</v>
      </c>
      <c r="B18" s="4" t="s">
        <v>44</v>
      </c>
      <c r="C18" s="2" t="s">
        <v>45</v>
      </c>
      <c r="D18" s="2" t="s">
        <v>43</v>
      </c>
      <c r="E18" s="4" t="s">
        <v>12</v>
      </c>
      <c r="F18" s="2">
        <v>160</v>
      </c>
      <c r="G18" s="3">
        <v>3.25</v>
      </c>
      <c r="H18" s="3">
        <f t="shared" si="0"/>
        <v>520</v>
      </c>
      <c r="I18" s="8" t="str">
        <v>Importe Normal</v>
      </c>
    </row>
    <row r="19" spans="1:9" x14ac:dyDescent="0.35">
      <c r="A19" s="4">
        <v>18</v>
      </c>
      <c r="B19" s="4" t="s">
        <v>46</v>
      </c>
      <c r="C19" s="2" t="s">
        <v>47</v>
      </c>
      <c r="D19" s="2" t="s">
        <v>43</v>
      </c>
      <c r="E19" s="4" t="s">
        <v>12</v>
      </c>
      <c r="F19" s="2">
        <v>300</v>
      </c>
      <c r="G19" s="3">
        <v>1.8</v>
      </c>
      <c r="H19" s="3">
        <f t="shared" si="0"/>
        <v>540</v>
      </c>
      <c r="I19" s="9" t="str">
        <v>Importe Normal</v>
      </c>
    </row>
    <row r="20" spans="1:9" x14ac:dyDescent="0.35">
      <c r="A20" s="4">
        <v>19</v>
      </c>
      <c r="B20" s="4" t="s">
        <v>48</v>
      </c>
      <c r="C20" s="2" t="s">
        <v>49</v>
      </c>
      <c r="D20" s="2" t="s">
        <v>43</v>
      </c>
      <c r="E20" s="4" t="s">
        <v>12</v>
      </c>
      <c r="F20" s="2">
        <v>80</v>
      </c>
      <c r="G20" s="3">
        <v>5.75</v>
      </c>
      <c r="H20" s="3">
        <f t="shared" si="0"/>
        <v>460</v>
      </c>
      <c r="I20" s="8" t="str">
        <v>Importe Normal</v>
      </c>
    </row>
    <row r="21" spans="1:9" x14ac:dyDescent="0.35">
      <c r="A21" s="4">
        <v>20</v>
      </c>
      <c r="B21" s="4" t="s">
        <v>50</v>
      </c>
      <c r="C21" s="2" t="s">
        <v>51</v>
      </c>
      <c r="D21" s="2" t="s">
        <v>43</v>
      </c>
      <c r="E21" s="4" t="s">
        <v>12</v>
      </c>
      <c r="F21" s="2">
        <v>125</v>
      </c>
      <c r="G21" s="3">
        <v>3.95</v>
      </c>
      <c r="H21" s="3">
        <f t="shared" si="0"/>
        <v>493.75</v>
      </c>
      <c r="I21" s="8" t="str">
        <v>Importe Normal</v>
      </c>
    </row>
    <row r="22" spans="1:9" x14ac:dyDescent="0.35">
      <c r="A22" s="4">
        <v>21</v>
      </c>
      <c r="B22" s="4" t="s">
        <v>52</v>
      </c>
      <c r="C22" s="2" t="s">
        <v>53</v>
      </c>
      <c r="D22" s="2" t="s">
        <v>54</v>
      </c>
      <c r="E22" s="4" t="s">
        <v>12</v>
      </c>
      <c r="F22" s="2">
        <v>90</v>
      </c>
      <c r="G22" s="3">
        <v>8.5</v>
      </c>
      <c r="H22" s="3">
        <f t="shared" si="0"/>
        <v>765</v>
      </c>
      <c r="I22" s="8" t="str">
        <v>Importe Normal</v>
      </c>
    </row>
    <row r="23" spans="1:9" x14ac:dyDescent="0.35">
      <c r="A23" s="4">
        <v>22</v>
      </c>
      <c r="B23" s="4" t="s">
        <v>55</v>
      </c>
      <c r="C23" s="2" t="s">
        <v>56</v>
      </c>
      <c r="D23" s="2" t="s">
        <v>54</v>
      </c>
      <c r="E23" s="4" t="s">
        <v>12</v>
      </c>
      <c r="F23" s="2">
        <v>150</v>
      </c>
      <c r="G23" s="3">
        <v>4.8</v>
      </c>
      <c r="H23" s="3">
        <f t="shared" si="0"/>
        <v>720</v>
      </c>
      <c r="I23" s="8" t="str">
        <v>Importe Normal</v>
      </c>
    </row>
    <row r="24" spans="1:9" x14ac:dyDescent="0.35">
      <c r="A24" s="4">
        <v>23</v>
      </c>
      <c r="B24" s="4" t="s">
        <v>57</v>
      </c>
      <c r="C24" s="2" t="s">
        <v>58</v>
      </c>
      <c r="D24" s="2" t="s">
        <v>54</v>
      </c>
      <c r="E24" s="4" t="s">
        <v>12</v>
      </c>
      <c r="F24" s="2">
        <v>130</v>
      </c>
      <c r="G24" s="3">
        <v>5.25</v>
      </c>
      <c r="H24" s="3">
        <f t="shared" si="0"/>
        <v>682.5</v>
      </c>
      <c r="I24" s="8" t="str">
        <v>Importe Normal</v>
      </c>
    </row>
    <row r="25" spans="1:9" x14ac:dyDescent="0.35">
      <c r="A25" s="4">
        <v>24</v>
      </c>
      <c r="B25" s="4" t="s">
        <v>59</v>
      </c>
      <c r="C25" s="2" t="s">
        <v>60</v>
      </c>
      <c r="D25" s="2" t="s">
        <v>54</v>
      </c>
      <c r="E25" s="4" t="s">
        <v>12</v>
      </c>
      <c r="F25" s="2">
        <v>180</v>
      </c>
      <c r="G25" s="3">
        <v>2.95</v>
      </c>
      <c r="H25" s="3">
        <f t="shared" si="0"/>
        <v>531</v>
      </c>
      <c r="I25" s="8" t="str">
        <v>Importe Normal</v>
      </c>
    </row>
    <row r="26" spans="1:9" x14ac:dyDescent="0.35">
      <c r="A26" s="4">
        <v>25</v>
      </c>
      <c r="B26" s="4" t="s">
        <v>61</v>
      </c>
      <c r="C26" s="2" t="s">
        <v>62</v>
      </c>
      <c r="D26" s="2" t="s">
        <v>54</v>
      </c>
      <c r="E26" s="4" t="s">
        <v>12</v>
      </c>
      <c r="F26" s="2">
        <v>100</v>
      </c>
      <c r="G26" s="3">
        <v>7.4</v>
      </c>
      <c r="H26" s="3">
        <f t="shared" si="0"/>
        <v>740</v>
      </c>
      <c r="I26" s="8" t="str">
        <v>Importe Normal</v>
      </c>
    </row>
    <row r="27" spans="1:9" x14ac:dyDescent="0.35">
      <c r="A27" s="4">
        <v>26</v>
      </c>
      <c r="B27" s="4" t="s">
        <v>63</v>
      </c>
      <c r="C27" s="2" t="s">
        <v>64</v>
      </c>
      <c r="D27" s="2" t="s">
        <v>65</v>
      </c>
      <c r="E27" s="4" t="s">
        <v>12</v>
      </c>
      <c r="F27" s="2">
        <v>200</v>
      </c>
      <c r="G27" s="3">
        <v>6.25</v>
      </c>
      <c r="H27" s="3">
        <f t="shared" si="0"/>
        <v>1250</v>
      </c>
      <c r="I27" s="8" t="str">
        <v>Importe Alto</v>
      </c>
    </row>
    <row r="28" spans="1:9" x14ac:dyDescent="0.35">
      <c r="A28" s="4">
        <v>27</v>
      </c>
      <c r="B28" s="4" t="s">
        <v>66</v>
      </c>
      <c r="C28" s="2" t="s">
        <v>67</v>
      </c>
      <c r="D28" s="2" t="s">
        <v>65</v>
      </c>
      <c r="E28" s="4" t="s">
        <v>12</v>
      </c>
      <c r="F28" s="2">
        <v>175</v>
      </c>
      <c r="G28" s="3">
        <v>3.5</v>
      </c>
      <c r="H28" s="3">
        <f t="shared" si="0"/>
        <v>612.5</v>
      </c>
      <c r="I28" s="8" t="str">
        <v>Importe Normal</v>
      </c>
    </row>
    <row r="29" spans="1:9" x14ac:dyDescent="0.35">
      <c r="A29" s="4">
        <v>28</v>
      </c>
      <c r="B29" s="4" t="s">
        <v>68</v>
      </c>
      <c r="C29" s="2" t="s">
        <v>69</v>
      </c>
      <c r="D29" s="2" t="s">
        <v>65</v>
      </c>
      <c r="E29" s="4" t="s">
        <v>12</v>
      </c>
      <c r="F29" s="2">
        <v>120</v>
      </c>
      <c r="G29" s="3">
        <v>4.5999999999999996</v>
      </c>
      <c r="H29" s="3">
        <f t="shared" si="0"/>
        <v>552</v>
      </c>
      <c r="I29" s="8" t="str">
        <v>Importe Normal</v>
      </c>
    </row>
    <row r="30" spans="1:9" x14ac:dyDescent="0.35">
      <c r="A30" s="4">
        <v>29</v>
      </c>
      <c r="B30" s="4" t="s">
        <v>70</v>
      </c>
      <c r="C30" s="2" t="s">
        <v>71</v>
      </c>
      <c r="D30" s="2" t="s">
        <v>65</v>
      </c>
      <c r="E30" s="4" t="s">
        <v>12</v>
      </c>
      <c r="F30" s="2">
        <v>140</v>
      </c>
      <c r="G30" s="3">
        <v>5.15</v>
      </c>
      <c r="H30" s="3">
        <f t="shared" si="0"/>
        <v>721</v>
      </c>
      <c r="I30" s="8" t="str">
        <v>Importe Normal</v>
      </c>
    </row>
    <row r="31" spans="1:9" x14ac:dyDescent="0.35">
      <c r="A31" s="4">
        <v>30</v>
      </c>
      <c r="B31" s="4" t="s">
        <v>72</v>
      </c>
      <c r="C31" s="2" t="s">
        <v>73</v>
      </c>
      <c r="D31" s="2" t="s">
        <v>65</v>
      </c>
      <c r="E31" s="4" t="s">
        <v>12</v>
      </c>
      <c r="F31" s="2">
        <v>160</v>
      </c>
      <c r="G31" s="3">
        <v>4.75</v>
      </c>
      <c r="H31" s="3">
        <f t="shared" si="0"/>
        <v>760</v>
      </c>
      <c r="I31" s="8" t="str">
        <v>Importe Normal</v>
      </c>
    </row>
    <row r="32" spans="1:9" x14ac:dyDescent="0.35">
      <c r="A32" s="4">
        <v>31</v>
      </c>
      <c r="B32" s="4" t="s">
        <v>74</v>
      </c>
      <c r="C32" s="2" t="s">
        <v>75</v>
      </c>
      <c r="D32" s="2" t="s">
        <v>76</v>
      </c>
      <c r="E32" s="4" t="s">
        <v>12</v>
      </c>
      <c r="F32" s="2">
        <v>250</v>
      </c>
      <c r="G32" s="3">
        <v>2.75</v>
      </c>
      <c r="H32" s="3">
        <f t="shared" si="0"/>
        <v>687.5</v>
      </c>
      <c r="I32" s="8" t="str">
        <v>Importe Normal</v>
      </c>
    </row>
    <row r="33" spans="1:9" x14ac:dyDescent="0.35">
      <c r="A33" s="4">
        <v>32</v>
      </c>
      <c r="B33" s="4" t="s">
        <v>77</v>
      </c>
      <c r="C33" s="2" t="s">
        <v>78</v>
      </c>
      <c r="D33" s="2" t="s">
        <v>76</v>
      </c>
      <c r="E33" s="4" t="s">
        <v>12</v>
      </c>
      <c r="F33" s="2">
        <v>180</v>
      </c>
      <c r="G33" s="3">
        <v>3.2</v>
      </c>
      <c r="H33" s="3">
        <f t="shared" si="0"/>
        <v>576</v>
      </c>
      <c r="I33" s="8" t="str">
        <v>Importe Normal</v>
      </c>
    </row>
    <row r="34" spans="1:9" x14ac:dyDescent="0.35">
      <c r="A34" s="4">
        <v>33</v>
      </c>
      <c r="B34" s="4" t="s">
        <v>79</v>
      </c>
      <c r="C34" s="2" t="s">
        <v>80</v>
      </c>
      <c r="D34" s="2" t="s">
        <v>76</v>
      </c>
      <c r="E34" s="4" t="s">
        <v>12</v>
      </c>
      <c r="F34" s="2">
        <v>300</v>
      </c>
      <c r="G34" s="3">
        <v>1.5</v>
      </c>
      <c r="H34" s="3">
        <f t="shared" si="0"/>
        <v>450</v>
      </c>
      <c r="I34" s="8" t="str">
        <v>Importe Normal</v>
      </c>
    </row>
    <row r="35" spans="1:9" x14ac:dyDescent="0.35">
      <c r="A35" s="4">
        <v>34</v>
      </c>
      <c r="B35" s="4" t="s">
        <v>81</v>
      </c>
      <c r="C35" s="2" t="s">
        <v>82</v>
      </c>
      <c r="D35" s="2" t="s">
        <v>76</v>
      </c>
      <c r="E35" s="4" t="s">
        <v>12</v>
      </c>
      <c r="F35" s="2">
        <v>150</v>
      </c>
      <c r="G35" s="3">
        <v>2.9</v>
      </c>
      <c r="H35" s="3">
        <f t="shared" si="0"/>
        <v>435</v>
      </c>
      <c r="I35" s="8" t="str">
        <v>Importe Normal</v>
      </c>
    </row>
    <row r="36" spans="1:9" x14ac:dyDescent="0.35">
      <c r="A36" s="4">
        <v>35</v>
      </c>
      <c r="B36" s="4" t="s">
        <v>83</v>
      </c>
      <c r="C36" s="2" t="s">
        <v>84</v>
      </c>
      <c r="D36" s="2" t="s">
        <v>76</v>
      </c>
      <c r="E36" s="4" t="s">
        <v>12</v>
      </c>
      <c r="F36" s="2">
        <v>100</v>
      </c>
      <c r="G36" s="3">
        <v>7.8</v>
      </c>
      <c r="H36" s="3">
        <f t="shared" si="0"/>
        <v>780</v>
      </c>
      <c r="I36" s="8" t="str">
        <v>Importe Normal</v>
      </c>
    </row>
    <row r="37" spans="1:9" x14ac:dyDescent="0.35">
      <c r="A37" s="4">
        <v>36</v>
      </c>
      <c r="B37" s="4" t="s">
        <v>85</v>
      </c>
      <c r="C37" s="2" t="s">
        <v>86</v>
      </c>
      <c r="D37" s="2" t="s">
        <v>76</v>
      </c>
      <c r="E37" s="4" t="s">
        <v>12</v>
      </c>
      <c r="F37" s="2">
        <v>70</v>
      </c>
      <c r="G37" s="3">
        <v>12.5</v>
      </c>
      <c r="H37" s="3">
        <f t="shared" si="0"/>
        <v>875</v>
      </c>
      <c r="I37" s="8" t="str">
        <v>Importe Normal</v>
      </c>
    </row>
    <row r="38" spans="1:9" x14ac:dyDescent="0.35">
      <c r="A38" s="4">
        <v>37</v>
      </c>
      <c r="B38" s="4" t="s">
        <v>87</v>
      </c>
      <c r="C38" s="2" t="s">
        <v>88</v>
      </c>
      <c r="D38" s="2" t="s">
        <v>89</v>
      </c>
      <c r="E38" s="4" t="s">
        <v>12</v>
      </c>
      <c r="F38" s="2">
        <v>80</v>
      </c>
      <c r="G38" s="3">
        <v>11.75</v>
      </c>
      <c r="H38" s="3">
        <f t="shared" si="0"/>
        <v>940</v>
      </c>
      <c r="I38" s="8" t="str">
        <v>Importe Normal</v>
      </c>
    </row>
    <row r="39" spans="1:9" x14ac:dyDescent="0.35">
      <c r="A39" s="4">
        <v>38</v>
      </c>
      <c r="B39" s="4" t="s">
        <v>90</v>
      </c>
      <c r="C39" s="2" t="s">
        <v>91</v>
      </c>
      <c r="D39" s="2" t="s">
        <v>89</v>
      </c>
      <c r="E39" s="4" t="s">
        <v>12</v>
      </c>
      <c r="F39" s="2">
        <v>60</v>
      </c>
      <c r="G39" s="3">
        <v>15.5</v>
      </c>
      <c r="H39" s="3">
        <f t="shared" si="0"/>
        <v>930</v>
      </c>
      <c r="I39" s="8" t="str">
        <v>Importe Normal</v>
      </c>
    </row>
    <row r="40" spans="1:9" x14ac:dyDescent="0.35">
      <c r="A40" s="4">
        <v>39</v>
      </c>
      <c r="B40" s="4" t="s">
        <v>92</v>
      </c>
      <c r="C40" s="2" t="s">
        <v>93</v>
      </c>
      <c r="D40" s="2" t="s">
        <v>89</v>
      </c>
      <c r="E40" s="4" t="s">
        <v>12</v>
      </c>
      <c r="F40" s="2">
        <v>75</v>
      </c>
      <c r="G40" s="3">
        <v>13.25</v>
      </c>
      <c r="H40" s="3">
        <f t="shared" si="0"/>
        <v>993.75</v>
      </c>
      <c r="I40" s="8" t="str">
        <v>Importe Normal</v>
      </c>
    </row>
    <row r="41" spans="1:9" x14ac:dyDescent="0.35">
      <c r="A41" s="4">
        <v>40</v>
      </c>
      <c r="B41" s="4" t="s">
        <v>94</v>
      </c>
      <c r="C41" s="2" t="s">
        <v>95</v>
      </c>
      <c r="D41" s="2" t="s">
        <v>89</v>
      </c>
      <c r="E41" s="4" t="s">
        <v>12</v>
      </c>
      <c r="F41" s="2">
        <v>90</v>
      </c>
      <c r="G41" s="3">
        <v>18.5</v>
      </c>
      <c r="H41" s="3">
        <f>F41*G41</f>
        <v>1665</v>
      </c>
      <c r="I41" s="8" t="str">
        <v>Importe Alto</v>
      </c>
    </row>
    <row r="42" spans="1:9" x14ac:dyDescent="0.35">
      <c r="A42" s="4">
        <v>41</v>
      </c>
      <c r="B42" s="4" t="s">
        <v>96</v>
      </c>
      <c r="C42" s="2" t="s">
        <v>97</v>
      </c>
      <c r="D42" s="2" t="s">
        <v>89</v>
      </c>
      <c r="E42" s="4" t="s">
        <v>12</v>
      </c>
      <c r="F42" s="2">
        <v>100</v>
      </c>
      <c r="G42" s="3">
        <v>9.75</v>
      </c>
      <c r="H42" s="3">
        <f t="shared" si="0"/>
        <v>975</v>
      </c>
      <c r="I42" s="8" t="str">
        <v>Importe Normal</v>
      </c>
    </row>
    <row r="43" spans="1:9" x14ac:dyDescent="0.35">
      <c r="A43" s="4">
        <v>42</v>
      </c>
      <c r="B43" s="4" t="s">
        <v>98</v>
      </c>
      <c r="C43" s="2" t="s">
        <v>99</v>
      </c>
      <c r="D43" s="2" t="s">
        <v>89</v>
      </c>
      <c r="E43" s="4" t="s">
        <v>12</v>
      </c>
      <c r="F43" s="2">
        <v>120</v>
      </c>
      <c r="G43" s="3">
        <v>7.5</v>
      </c>
      <c r="H43" s="3">
        <f t="shared" si="0"/>
        <v>900</v>
      </c>
      <c r="I43" s="8" t="str">
        <v>Importe Normal</v>
      </c>
    </row>
    <row r="44" spans="1:9" x14ac:dyDescent="0.35">
      <c r="A44" s="4">
        <v>43</v>
      </c>
      <c r="B44" s="4" t="s">
        <v>100</v>
      </c>
      <c r="C44" s="2" t="s">
        <v>101</v>
      </c>
      <c r="D44" s="2" t="s">
        <v>102</v>
      </c>
      <c r="E44" s="4" t="s">
        <v>12</v>
      </c>
      <c r="F44" s="2">
        <v>85</v>
      </c>
      <c r="G44" s="3">
        <v>22.5</v>
      </c>
      <c r="H44" s="3">
        <f t="shared" si="0"/>
        <v>1912.5</v>
      </c>
      <c r="I44" s="8" t="str">
        <v>Importe Alto</v>
      </c>
    </row>
    <row r="45" spans="1:9" x14ac:dyDescent="0.35">
      <c r="A45" s="4">
        <v>44</v>
      </c>
      <c r="B45" s="4" t="s">
        <v>103</v>
      </c>
      <c r="C45" s="2" t="s">
        <v>104</v>
      </c>
      <c r="D45" s="2" t="s">
        <v>102</v>
      </c>
      <c r="E45" s="4" t="s">
        <v>12</v>
      </c>
      <c r="F45" s="2">
        <v>60</v>
      </c>
      <c r="G45" s="3">
        <v>28</v>
      </c>
      <c r="H45" s="3">
        <f t="shared" si="0"/>
        <v>1680</v>
      </c>
      <c r="I45" s="9" t="str">
        <v>Importe Alto</v>
      </c>
    </row>
    <row r="46" spans="1:9" x14ac:dyDescent="0.35">
      <c r="A46" s="4">
        <v>45</v>
      </c>
      <c r="B46" s="4" t="s">
        <v>105</v>
      </c>
      <c r="C46" s="2" t="s">
        <v>106</v>
      </c>
      <c r="D46" s="2" t="s">
        <v>102</v>
      </c>
      <c r="E46" s="4" t="s">
        <v>107</v>
      </c>
      <c r="F46" s="2">
        <v>120</v>
      </c>
      <c r="G46" s="3">
        <v>8.75</v>
      </c>
      <c r="H46" s="3">
        <f t="shared" si="0"/>
        <v>1050</v>
      </c>
      <c r="I46" s="8" t="str">
        <v>Importe Alto</v>
      </c>
    </row>
    <row r="47" spans="1:9" x14ac:dyDescent="0.35">
      <c r="A47" s="4">
        <v>46</v>
      </c>
      <c r="B47" s="4" t="s">
        <v>108</v>
      </c>
      <c r="C47" s="2" t="s">
        <v>109</v>
      </c>
      <c r="D47" s="2" t="s">
        <v>102</v>
      </c>
      <c r="E47" s="4" t="s">
        <v>110</v>
      </c>
      <c r="F47" s="2">
        <v>90</v>
      </c>
      <c r="G47" s="3">
        <v>12.8</v>
      </c>
      <c r="H47" s="3">
        <f t="shared" si="0"/>
        <v>1152</v>
      </c>
      <c r="I47" s="8" t="str">
        <v>Importe Alto</v>
      </c>
    </row>
    <row r="48" spans="1:9" x14ac:dyDescent="0.35">
      <c r="A48" s="4">
        <v>47</v>
      </c>
      <c r="B48" s="4" t="s">
        <v>111</v>
      </c>
      <c r="C48" s="2" t="s">
        <v>112</v>
      </c>
      <c r="D48" s="2" t="s">
        <v>102</v>
      </c>
      <c r="E48" s="4" t="s">
        <v>113</v>
      </c>
      <c r="F48" s="2">
        <v>75</v>
      </c>
      <c r="G48" s="3">
        <v>16.5</v>
      </c>
      <c r="H48" s="3">
        <f t="shared" si="0"/>
        <v>1237.5</v>
      </c>
      <c r="I48" s="8" t="str">
        <v>Importe Alto</v>
      </c>
    </row>
    <row r="49" spans="1:9" x14ac:dyDescent="0.35">
      <c r="A49" s="4">
        <v>48</v>
      </c>
      <c r="B49" s="4" t="s">
        <v>114</v>
      </c>
      <c r="C49" s="2" t="s">
        <v>115</v>
      </c>
      <c r="D49" s="2" t="s">
        <v>102</v>
      </c>
      <c r="E49" s="4" t="s">
        <v>12</v>
      </c>
      <c r="F49" s="2">
        <v>110</v>
      </c>
      <c r="G49" s="3">
        <v>9.25</v>
      </c>
      <c r="H49" s="3">
        <f t="shared" si="0"/>
        <v>1017.5</v>
      </c>
      <c r="I49" s="8" t="str">
        <v>Importe Alto</v>
      </c>
    </row>
    <row r="50" spans="1:9" x14ac:dyDescent="0.35">
      <c r="A50" s="4">
        <v>49</v>
      </c>
      <c r="B50" s="4" t="s">
        <v>116</v>
      </c>
      <c r="C50" s="2" t="s">
        <v>117</v>
      </c>
      <c r="D50" s="2" t="s">
        <v>102</v>
      </c>
      <c r="E50" s="4" t="s">
        <v>12</v>
      </c>
      <c r="F50" s="2">
        <v>65</v>
      </c>
      <c r="G50" s="3">
        <v>24.5</v>
      </c>
      <c r="H50" s="3">
        <f t="shared" si="0"/>
        <v>1592.5</v>
      </c>
      <c r="I50" s="8" t="str">
        <v>Importe Alto</v>
      </c>
    </row>
    <row r="51" spans="1:9" x14ac:dyDescent="0.35">
      <c r="A51" s="4">
        <v>50</v>
      </c>
      <c r="B51" s="4" t="s">
        <v>118</v>
      </c>
      <c r="C51" s="2" t="s">
        <v>119</v>
      </c>
      <c r="D51" s="2" t="s">
        <v>65</v>
      </c>
      <c r="E51" s="4" t="s">
        <v>12</v>
      </c>
      <c r="F51" s="2">
        <v>100</v>
      </c>
      <c r="G51" s="3">
        <v>10.5</v>
      </c>
      <c r="H51" s="3">
        <f>F51*G51</f>
        <v>1050</v>
      </c>
      <c r="I51" s="9" t="str">
        <v>Importe Alto</v>
      </c>
    </row>
    <row r="54" spans="1:9" x14ac:dyDescent="0.35">
      <c r="C54" s="6" t="s">
        <v>122</v>
      </c>
      <c r="D54" s="11">
        <f>SUM(H2:H51)</f>
        <v>40359</v>
      </c>
    </row>
    <row r="55" spans="1:9" x14ac:dyDescent="0.35">
      <c r="C55" s="6" t="s">
        <v>120</v>
      </c>
      <c r="D55" s="7">
        <f>AVERAGE(G2:G51)</f>
        <v>7.7420000000000009</v>
      </c>
    </row>
    <row r="56" spans="1:9" x14ac:dyDescent="0.35">
      <c r="C56" s="6" t="s">
        <v>121</v>
      </c>
      <c r="D56" s="6">
        <f>COUNTA(C2:C51)</f>
        <v>50</v>
      </c>
    </row>
    <row r="57" spans="1:9" x14ac:dyDescent="0.35">
      <c r="C57" s="6" t="s">
        <v>123</v>
      </c>
      <c r="D57" s="10">
        <f>SUMIF(E2:E51,"México",H2:H51)</f>
        <v>36919.5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F3FA-3A3D-4E0A-87A1-A8C72A2F7ACE}">
  <dimension ref="B3:E11"/>
  <sheetViews>
    <sheetView tabSelected="1" workbookViewId="0">
      <selection activeCell="G7" sqref="G7"/>
    </sheetView>
  </sheetViews>
  <sheetFormatPr baseColWidth="10" defaultRowHeight="14.5" x14ac:dyDescent="0.35"/>
  <cols>
    <col min="2" max="2" width="40.6328125" customWidth="1"/>
    <col min="3" max="3" width="11.1796875" bestFit="1" customWidth="1"/>
  </cols>
  <sheetData>
    <row r="3" spans="2:5" x14ac:dyDescent="0.35">
      <c r="B3" s="16" t="s">
        <v>124</v>
      </c>
      <c r="C3" s="15">
        <f>Datos_Importación!D54</f>
        <v>40359</v>
      </c>
      <c r="D3" s="13"/>
    </row>
    <row r="4" spans="2:5" x14ac:dyDescent="0.35">
      <c r="B4" s="16" t="s">
        <v>125</v>
      </c>
      <c r="C4" s="13" t="s">
        <v>129</v>
      </c>
      <c r="D4" s="13"/>
    </row>
    <row r="5" spans="2:5" x14ac:dyDescent="0.35">
      <c r="B5" s="16" t="s">
        <v>126</v>
      </c>
      <c r="C5" s="14">
        <f>Datos_Importación!D55</f>
        <v>7.7420000000000009</v>
      </c>
      <c r="D5" s="13"/>
    </row>
    <row r="6" spans="2:5" x14ac:dyDescent="0.35">
      <c r="B6" s="16" t="s">
        <v>127</v>
      </c>
      <c r="C6" s="13">
        <f>Datos_Importación!D56</f>
        <v>50</v>
      </c>
      <c r="D6" s="13"/>
    </row>
    <row r="7" spans="2:5" ht="43.5" x14ac:dyDescent="0.35">
      <c r="B7" s="17" t="s">
        <v>128</v>
      </c>
    </row>
    <row r="11" spans="2:5" x14ac:dyDescent="0.35">
      <c r="E11" s="1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Datos_Importación</vt:lpstr>
      <vt:lpstr>Resultados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Linda Tórrez</cp:lastModifiedBy>
  <dcterms:created xsi:type="dcterms:W3CDTF">2026-09-15T18:58:39Z</dcterms:created>
  <dcterms:modified xsi:type="dcterms:W3CDTF">2026-09-18T19:48:43Z</dcterms:modified>
</cp:coreProperties>
</file>